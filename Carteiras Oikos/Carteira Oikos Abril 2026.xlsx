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DEDE8484-3DF4-432D-BD31-A797887959FD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servadora-Moderada" sheetId="2" r:id="rId1"/>
    <sheet name="Agressiva" sheetId="1" r:id="rId2"/>
    <sheet name="Moderada" sheetId="3" r:id="rId3"/>
    <sheet name="Conservadora" sheetId="4" r:id="rId4"/>
    <sheet name="Ações BR" sheetId="5" r:id="rId5"/>
    <sheet name="ET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17" i="3"/>
  <c r="I4" i="3"/>
  <c r="I5" i="3"/>
  <c r="I6" i="3"/>
  <c r="I7" i="3"/>
  <c r="I8" i="3"/>
  <c r="I9" i="3"/>
  <c r="I10" i="3"/>
  <c r="I11" i="3"/>
  <c r="I12" i="3"/>
  <c r="I13" i="3"/>
  <c r="I3" i="3"/>
  <c r="J3" i="3"/>
</calcChain>
</file>

<file path=xl/sharedStrings.xml><?xml version="1.0" encoding="utf-8"?>
<sst xmlns="http://schemas.openxmlformats.org/spreadsheetml/2006/main" count="222" uniqueCount="69">
  <si>
    <t>Carteira Longo Prazo</t>
  </si>
  <si>
    <t>CNPJ</t>
  </si>
  <si>
    <t>Peso</t>
  </si>
  <si>
    <t>Zsys Kreutzer Multimercado</t>
  </si>
  <si>
    <t>55.315.251/0001-57</t>
  </si>
  <si>
    <t>Sul América Crédito Ativo FIRF CP</t>
  </si>
  <si>
    <t>13.823.084/0001-05</t>
  </si>
  <si>
    <t>Safra Vitesse FIRF CP</t>
  </si>
  <si>
    <t>11.447.124/0001-36</t>
  </si>
  <si>
    <t>Daycoval Classic 30 FIRF CP</t>
  </si>
  <si>
    <t>29.250.121/0001-73</t>
  </si>
  <si>
    <t>SpartaTop FIC RF CP LP</t>
  </si>
  <si>
    <t>14.188.162/0001-00</t>
  </si>
  <si>
    <t>ARX Vinson FC FIRF CP</t>
  </si>
  <si>
    <t>30.910.553/0001-42</t>
  </si>
  <si>
    <t>Kapitalo K10 FC FM</t>
  </si>
  <si>
    <t>29.726.133/0001-21</t>
  </si>
  <si>
    <t>Zsys Molitor FIA</t>
  </si>
  <si>
    <t>57.583.715/0001-31</t>
  </si>
  <si>
    <t>BTG Pactual Ouro USD Fundo De Investimento Multimercado</t>
  </si>
  <si>
    <t>34.979.818/0001-10</t>
  </si>
  <si>
    <t>BTG Cambial Dólar FI</t>
  </si>
  <si>
    <t>01.430.938/0001-04</t>
  </si>
  <si>
    <t>Western Asset Fundo De Investimento Ações Bdr Nível I</t>
  </si>
  <si>
    <t>19.831.126/0001-36</t>
  </si>
  <si>
    <t>106% CDI</t>
  </si>
  <si>
    <t>BTC-USD</t>
  </si>
  <si>
    <t>GLD</t>
  </si>
  <si>
    <t>VYM</t>
  </si>
  <si>
    <t>IVV</t>
  </si>
  <si>
    <t>GSLC</t>
  </si>
  <si>
    <t>SCHD</t>
  </si>
  <si>
    <t>VYMI</t>
  </si>
  <si>
    <t>BIL</t>
  </si>
  <si>
    <t>QQQ</t>
  </si>
  <si>
    <t>VOO</t>
  </si>
  <si>
    <t>EEMA</t>
  </si>
  <si>
    <t>BNDX</t>
  </si>
  <si>
    <t>ALUP11.SA</t>
  </si>
  <si>
    <t>CPLE3.SA</t>
  </si>
  <si>
    <t>ISAE4.SA</t>
  </si>
  <si>
    <t>PETR4.SA</t>
  </si>
  <si>
    <t>SLCE3.SA</t>
  </si>
  <si>
    <t>SUZB3.SA</t>
  </si>
  <si>
    <t>TAEE11.SA</t>
  </si>
  <si>
    <t>EQTL3.SA</t>
  </si>
  <si>
    <t>MBRF3.SA</t>
  </si>
  <si>
    <t>BBSE3.SA</t>
  </si>
  <si>
    <t>EGIE3.SA</t>
  </si>
  <si>
    <t>SAPR11.SA</t>
  </si>
  <si>
    <t>Ativo</t>
  </si>
  <si>
    <t>Porcentagem</t>
  </si>
  <si>
    <t>Carteira ETF</t>
  </si>
  <si>
    <t>Carteira Ações</t>
  </si>
  <si>
    <t>ALUP11</t>
  </si>
  <si>
    <t>CPLE6</t>
  </si>
  <si>
    <t>ISAE4</t>
  </si>
  <si>
    <t>PETR4</t>
  </si>
  <si>
    <t>SLCE3</t>
  </si>
  <si>
    <t>SUZB3</t>
  </si>
  <si>
    <t>TAEE11</t>
  </si>
  <si>
    <t>EQTL3</t>
  </si>
  <si>
    <t>MRFG3</t>
  </si>
  <si>
    <t>BBSE3</t>
  </si>
  <si>
    <t>EGIE3</t>
  </si>
  <si>
    <t>SAPR11</t>
  </si>
  <si>
    <t>BTG Pactual Tesouro Selic Simples FIRF</t>
  </si>
  <si>
    <t>29.562.673/0001-17</t>
  </si>
  <si>
    <t xml:space="preserve">106%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</si>
</sst>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F0-809A-43B0-ACAA-F07786B8B4E1}">
  <dimension ref="A1:S37"/>
  <sheetViews>
    <sheetView topLeftCell="A19" workbookViewId="0">
      <selection activeCell="A26" sqref="A26:A37"/>
    </sheetView>
  </sheetViews>
  <sheetFormatPr defaultRowHeight="15"/>
  <cols>
    <col min="1" max="1" width="40.42578125" customWidth="1"/>
  </cols>
  <sheetData>
    <row r="1" spans="1:1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3</v>
      </c>
      <c r="B2" s="5" t="s">
        <v>4</v>
      </c>
      <c r="C2" s="6">
        <v>3.2500000000000001E-2</v>
      </c>
      <c r="D2" s="5"/>
      <c r="E2" s="3"/>
      <c r="F2" s="3"/>
      <c r="G2" s="5"/>
      <c r="H2" s="3"/>
      <c r="I2" s="3"/>
      <c r="J2" s="3"/>
      <c r="K2" s="5"/>
      <c r="L2" s="3"/>
      <c r="M2" s="3"/>
      <c r="N2" s="3"/>
      <c r="O2" s="3"/>
      <c r="P2" s="3"/>
      <c r="Q2" s="3"/>
      <c r="R2" s="5"/>
      <c r="S2" s="5"/>
    </row>
    <row r="3" spans="1:19">
      <c r="A3" s="5" t="s">
        <v>5</v>
      </c>
      <c r="B3" s="5" t="s">
        <v>6</v>
      </c>
      <c r="C3" s="6">
        <v>6.0000000000000001E-3</v>
      </c>
      <c r="D3" s="5"/>
      <c r="E3" s="3"/>
      <c r="F3" s="3"/>
      <c r="G3" s="5"/>
      <c r="H3" s="5"/>
      <c r="I3" s="7"/>
      <c r="J3" s="6"/>
      <c r="K3" s="5"/>
      <c r="L3" s="5"/>
      <c r="M3" s="5"/>
      <c r="N3" s="3"/>
      <c r="O3" s="3"/>
      <c r="P3" s="5"/>
      <c r="Q3" s="3"/>
      <c r="R3" s="3"/>
      <c r="S3" s="3"/>
    </row>
    <row r="4" spans="1:19">
      <c r="A4" s="5" t="s">
        <v>7</v>
      </c>
      <c r="B4" s="5" t="s">
        <v>8</v>
      </c>
      <c r="C4" s="6">
        <v>6.0000000000000001E-3</v>
      </c>
      <c r="D4" s="5"/>
      <c r="E4" s="5"/>
      <c r="F4" s="5"/>
      <c r="G4" s="5"/>
      <c r="H4" s="5"/>
      <c r="I4" s="7"/>
      <c r="J4" s="6"/>
      <c r="K4" s="5"/>
      <c r="L4" s="5"/>
      <c r="M4" s="5"/>
      <c r="N4" s="3"/>
      <c r="O4" s="3"/>
      <c r="P4" s="5"/>
      <c r="Q4" s="5"/>
      <c r="R4" s="5"/>
      <c r="S4" s="5"/>
    </row>
    <row r="5" spans="1:19">
      <c r="A5" s="5" t="s">
        <v>9</v>
      </c>
      <c r="B5" s="5" t="s">
        <v>10</v>
      </c>
      <c r="C5" s="6">
        <v>6.0000000000000001E-3</v>
      </c>
      <c r="D5" s="5"/>
      <c r="E5" s="5"/>
      <c r="F5" s="5"/>
      <c r="G5" s="5"/>
      <c r="H5" s="5"/>
      <c r="I5" s="7"/>
      <c r="J5" s="6"/>
      <c r="K5" s="5"/>
      <c r="L5" s="5"/>
      <c r="M5" s="5"/>
      <c r="N5" s="5"/>
      <c r="O5" s="5"/>
      <c r="P5" s="5"/>
      <c r="Q5" s="5"/>
      <c r="R5" s="5"/>
      <c r="S5" s="8"/>
    </row>
    <row r="6" spans="1:19">
      <c r="A6" s="5" t="s">
        <v>11</v>
      </c>
      <c r="B6" s="5" t="s">
        <v>12</v>
      </c>
      <c r="C6" s="6">
        <v>6.0000000000000001E-3</v>
      </c>
      <c r="D6" s="5"/>
      <c r="E6" s="5"/>
      <c r="F6" s="5"/>
      <c r="G6" s="5"/>
      <c r="H6" s="5"/>
      <c r="I6" s="7"/>
      <c r="J6" s="6"/>
      <c r="K6" s="5"/>
      <c r="L6" s="5"/>
      <c r="M6" s="5"/>
      <c r="N6" s="5"/>
      <c r="O6" s="5"/>
      <c r="P6" s="5"/>
      <c r="Q6" s="5"/>
      <c r="R6" s="5"/>
      <c r="S6" s="8"/>
    </row>
    <row r="7" spans="1:19">
      <c r="A7" s="5" t="s">
        <v>13</v>
      </c>
      <c r="B7" s="5" t="s">
        <v>14</v>
      </c>
      <c r="C7" s="6">
        <v>6.0000000000000001E-3</v>
      </c>
      <c r="D7" s="5"/>
      <c r="E7" s="5"/>
      <c r="F7" s="5"/>
      <c r="G7" s="5"/>
      <c r="H7" s="5"/>
      <c r="I7" s="7"/>
      <c r="J7" s="6"/>
      <c r="K7" s="5"/>
      <c r="L7" s="5"/>
      <c r="M7" s="5"/>
      <c r="N7" s="5"/>
      <c r="O7" s="5"/>
      <c r="P7" s="5"/>
      <c r="Q7" s="5"/>
      <c r="R7" s="5"/>
      <c r="S7" s="8"/>
    </row>
    <row r="8" spans="1:19">
      <c r="A8" s="5" t="s">
        <v>15</v>
      </c>
      <c r="B8" s="5" t="s">
        <v>16</v>
      </c>
      <c r="C8" s="6">
        <v>2.9399999999999999E-2</v>
      </c>
      <c r="D8" s="5"/>
      <c r="E8" s="5"/>
      <c r="F8" s="5"/>
      <c r="G8" s="5"/>
      <c r="H8" s="5"/>
      <c r="I8" s="7"/>
      <c r="J8" s="6"/>
      <c r="K8" s="5"/>
      <c r="L8" s="5"/>
      <c r="M8" s="5"/>
      <c r="N8" s="5"/>
      <c r="O8" s="5"/>
      <c r="P8" s="5"/>
      <c r="Q8" s="5"/>
      <c r="R8" s="5"/>
      <c r="S8" s="8"/>
    </row>
    <row r="9" spans="1:19">
      <c r="A9" s="5" t="s">
        <v>17</v>
      </c>
      <c r="B9" s="5" t="s">
        <v>18</v>
      </c>
      <c r="C9" s="6">
        <v>2.58E-2</v>
      </c>
      <c r="D9" s="9"/>
      <c r="E9" s="5"/>
      <c r="F9" s="5"/>
      <c r="G9" s="5"/>
      <c r="H9" s="5"/>
      <c r="I9" s="7"/>
      <c r="J9" s="6"/>
      <c r="K9" s="5"/>
      <c r="L9" s="5"/>
      <c r="M9" s="5"/>
      <c r="N9" s="5"/>
      <c r="O9" s="5"/>
      <c r="P9" s="5"/>
      <c r="Q9" s="5"/>
      <c r="R9" s="5"/>
      <c r="S9" s="8"/>
    </row>
    <row r="10" spans="1:19">
      <c r="A10" s="5" t="s">
        <v>19</v>
      </c>
      <c r="B10" s="5" t="s">
        <v>20</v>
      </c>
      <c r="C10" s="6">
        <v>1.17E-2</v>
      </c>
      <c r="D10" s="10"/>
      <c r="E10" s="5"/>
      <c r="F10" s="5"/>
      <c r="G10" s="5"/>
      <c r="H10" s="5"/>
      <c r="I10" s="7"/>
      <c r="J10" s="6"/>
      <c r="K10" s="5"/>
      <c r="L10" s="5"/>
      <c r="M10" s="9"/>
      <c r="N10" s="5"/>
      <c r="O10" s="5"/>
      <c r="P10" s="5"/>
      <c r="Q10" s="5"/>
      <c r="R10" s="5"/>
      <c r="S10" s="5"/>
    </row>
    <row r="11" spans="1:19">
      <c r="A11" s="5" t="s">
        <v>21</v>
      </c>
      <c r="B11" s="5" t="s">
        <v>22</v>
      </c>
      <c r="C11" s="6">
        <v>8.8999999999999999E-3</v>
      </c>
      <c r="D11" s="5"/>
      <c r="E11" s="11"/>
      <c r="F11" s="5"/>
      <c r="G11" s="5"/>
      <c r="H11" s="5"/>
      <c r="I11" s="7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 t="s">
        <v>23</v>
      </c>
      <c r="B12" s="5" t="s">
        <v>24</v>
      </c>
      <c r="C12" s="6">
        <v>1.1999999999999999E-3</v>
      </c>
      <c r="D12" s="5"/>
      <c r="E12" s="5"/>
      <c r="F12" s="5"/>
      <c r="G12" s="5"/>
      <c r="H12" s="5"/>
      <c r="I12" s="7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 t="s">
        <v>25</v>
      </c>
      <c r="B13" s="5"/>
      <c r="C13" s="6">
        <v>0.85</v>
      </c>
      <c r="D13" s="5"/>
      <c r="E13" s="5"/>
      <c r="F13" s="5"/>
      <c r="G13" s="5"/>
      <c r="H13" s="5"/>
      <c r="I13" s="7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 t="s">
        <v>26</v>
      </c>
      <c r="B14" s="5"/>
      <c r="C14" s="6">
        <v>3.8E-3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27</v>
      </c>
      <c r="B15" s="5"/>
      <c r="C15" s="6">
        <v>3.2000000000000003E-4</v>
      </c>
      <c r="D15" s="5"/>
      <c r="E15" s="5"/>
      <c r="F15" s="5"/>
      <c r="G15" s="5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 t="s">
        <v>28</v>
      </c>
      <c r="B16" s="5"/>
      <c r="C16" s="6">
        <v>3.2000000000000003E-4</v>
      </c>
      <c r="D16" s="5"/>
      <c r="E16" s="3"/>
      <c r="F16" s="3"/>
      <c r="G16" s="5"/>
      <c r="H16" s="3"/>
      <c r="I16" s="3"/>
      <c r="J16" s="5"/>
      <c r="K16" s="5"/>
      <c r="L16" s="5"/>
      <c r="M16" s="5"/>
      <c r="N16" s="5"/>
      <c r="O16" s="5"/>
      <c r="P16" s="5"/>
      <c r="Q16" s="3"/>
      <c r="R16" s="3"/>
      <c r="S16" s="5"/>
    </row>
    <row r="17" spans="1:19">
      <c r="A17" s="5" t="s">
        <v>29</v>
      </c>
      <c r="B17" s="5"/>
      <c r="C17" s="6">
        <v>3.2000000000000003E-4</v>
      </c>
      <c r="D17" s="5"/>
      <c r="E17" s="3"/>
      <c r="F17" s="3"/>
      <c r="G17" s="5"/>
      <c r="H17" s="5"/>
      <c r="I17" s="7"/>
      <c r="J17" s="6"/>
      <c r="K17" s="5"/>
      <c r="L17" s="5"/>
      <c r="M17" s="5"/>
      <c r="N17" s="3"/>
      <c r="O17" s="3"/>
      <c r="P17" s="5"/>
      <c r="Q17" s="3"/>
      <c r="R17" s="3"/>
      <c r="S17" s="5"/>
    </row>
    <row r="18" spans="1:19">
      <c r="A18" s="5" t="s">
        <v>30</v>
      </c>
      <c r="B18" s="5"/>
      <c r="C18" s="6">
        <v>3.2000000000000003E-4</v>
      </c>
      <c r="D18" s="5"/>
      <c r="E18" s="5"/>
      <c r="F18" s="5"/>
      <c r="G18" s="5"/>
      <c r="H18" s="5"/>
      <c r="I18" s="7"/>
      <c r="J18" s="6"/>
      <c r="K18" s="5"/>
      <c r="L18" s="5"/>
      <c r="M18" s="5"/>
      <c r="N18" s="3"/>
      <c r="O18" s="3"/>
      <c r="P18" s="5"/>
      <c r="Q18" s="5"/>
      <c r="R18" s="5"/>
      <c r="S18" s="5"/>
    </row>
    <row r="19" spans="1:19">
      <c r="A19" s="5" t="s">
        <v>31</v>
      </c>
      <c r="B19" s="5"/>
      <c r="C19" s="6">
        <v>3.2000000000000003E-4</v>
      </c>
      <c r="D19" s="5"/>
      <c r="E19" s="5"/>
      <c r="F19" s="5"/>
      <c r="G19" s="5"/>
      <c r="H19" s="5"/>
      <c r="I19" s="7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 t="s">
        <v>32</v>
      </c>
      <c r="B20" s="5"/>
      <c r="C20" s="6">
        <v>3.2000000000000003E-4</v>
      </c>
      <c r="D20" s="5"/>
      <c r="E20" s="5"/>
      <c r="F20" s="5"/>
      <c r="G20" s="5"/>
      <c r="H20" s="5"/>
      <c r="I20" s="7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 t="s">
        <v>33</v>
      </c>
      <c r="B21" s="5"/>
      <c r="C21" s="6">
        <v>3.2000000000000003E-4</v>
      </c>
      <c r="D21" s="5"/>
      <c r="E21" s="5"/>
      <c r="F21" s="5"/>
      <c r="G21" s="5"/>
      <c r="H21" s="5"/>
      <c r="I21" s="7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 t="s">
        <v>34</v>
      </c>
      <c r="B22" s="5"/>
      <c r="C22" s="6">
        <v>3.2000000000000003E-4</v>
      </c>
      <c r="D22" s="5"/>
      <c r="E22" s="5"/>
      <c r="F22" s="5"/>
      <c r="G22" s="5"/>
      <c r="H22" s="5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 t="s">
        <v>35</v>
      </c>
      <c r="B23" s="5"/>
      <c r="C23" s="6">
        <v>3.2000000000000003E-4</v>
      </c>
      <c r="D23" s="5"/>
      <c r="E23" s="5"/>
      <c r="F23" s="5"/>
      <c r="G23" s="5"/>
      <c r="H23" s="5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 t="s">
        <v>36</v>
      </c>
      <c r="B24" s="5"/>
      <c r="C24" s="6">
        <v>2.2400000000000002E-4</v>
      </c>
      <c r="D24" s="5"/>
      <c r="E24" s="5"/>
      <c r="F24" s="5"/>
      <c r="G24" s="5"/>
      <c r="H24" s="5"/>
      <c r="I24" s="7"/>
      <c r="J24" s="6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 t="s">
        <v>37</v>
      </c>
      <c r="C25" s="1">
        <v>9.6000000000000002E-5</v>
      </c>
      <c r="D25" s="5"/>
      <c r="E25" s="5"/>
      <c r="F25" s="5"/>
      <c r="G25" s="5"/>
      <c r="H25" s="5"/>
      <c r="I25" s="7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t="s">
        <v>38</v>
      </c>
      <c r="C26" s="1">
        <v>3.2000000000000003E-4</v>
      </c>
      <c r="D26" s="5"/>
      <c r="E26" s="5"/>
      <c r="F26" s="5"/>
      <c r="G26" s="5"/>
      <c r="H26" s="5"/>
      <c r="I26" s="7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t="s">
        <v>39</v>
      </c>
      <c r="C27" s="1">
        <v>3.2000000000000003E-4</v>
      </c>
      <c r="D27" s="5"/>
      <c r="E27" s="5"/>
      <c r="F27" s="5"/>
      <c r="G27" s="5"/>
      <c r="H27" s="5"/>
      <c r="I27" s="7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t="s">
        <v>40</v>
      </c>
      <c r="C28" s="1">
        <v>3.2000000000000003E-4</v>
      </c>
      <c r="D28" s="5"/>
      <c r="E28" s="5"/>
      <c r="F28" s="5"/>
      <c r="G28" s="5"/>
      <c r="H28" s="5"/>
      <c r="I28" s="7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t="s">
        <v>41</v>
      </c>
      <c r="C29" s="1">
        <v>3.2000000000000003E-4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t="s">
        <v>42</v>
      </c>
      <c r="C30" s="1">
        <v>3.2000000000000003E-4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t="s">
        <v>43</v>
      </c>
      <c r="C31" s="1">
        <v>3.2000000000000003E-4</v>
      </c>
    </row>
    <row r="32" spans="1:19">
      <c r="A32" t="s">
        <v>44</v>
      </c>
      <c r="C32" s="1">
        <v>3.2000000000000003E-4</v>
      </c>
    </row>
    <row r="33" spans="1:3">
      <c r="A33" t="s">
        <v>45</v>
      </c>
      <c r="C33" s="1">
        <v>3.2000000000000003E-4</v>
      </c>
    </row>
    <row r="34" spans="1:3">
      <c r="A34" t="s">
        <v>46</v>
      </c>
      <c r="C34" s="1">
        <v>1.92E-4</v>
      </c>
    </row>
    <row r="35" spans="1:3">
      <c r="A35" t="s">
        <v>47</v>
      </c>
      <c r="C35" s="1">
        <v>1.92E-4</v>
      </c>
    </row>
    <row r="36" spans="1:3">
      <c r="A36" t="s">
        <v>48</v>
      </c>
      <c r="C36" s="1">
        <v>1.6000000000000001E-4</v>
      </c>
    </row>
    <row r="37" spans="1:3">
      <c r="A37" t="s">
        <v>49</v>
      </c>
      <c r="C37" s="1">
        <v>1.2800000000000002E-4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3" workbookViewId="0">
      <selection activeCell="A26" sqref="A26:A37"/>
    </sheetView>
  </sheetViews>
  <sheetFormatPr defaultRowHeight="15"/>
  <cols>
    <col min="1" max="1" width="47.7109375" customWidth="1"/>
    <col min="2" max="2" width="25.5703125" customWidth="1"/>
  </cols>
  <sheetData>
    <row r="1" spans="1:10">
      <c r="A1" t="s">
        <v>50</v>
      </c>
      <c r="B1" t="s">
        <v>1</v>
      </c>
      <c r="C1" t="s">
        <v>2</v>
      </c>
    </row>
    <row r="2" spans="1:10">
      <c r="A2" t="s">
        <v>3</v>
      </c>
      <c r="B2" t="s">
        <v>4</v>
      </c>
      <c r="C2" s="1">
        <v>0.2</v>
      </c>
    </row>
    <row r="3" spans="1:10">
      <c r="A3" t="s">
        <v>5</v>
      </c>
      <c r="B3" t="s">
        <v>6</v>
      </c>
      <c r="C3" s="1">
        <v>3.7100000000000001E-2</v>
      </c>
    </row>
    <row r="4" spans="1:10">
      <c r="A4" t="s">
        <v>7</v>
      </c>
      <c r="B4" t="s">
        <v>8</v>
      </c>
      <c r="C4" s="1">
        <v>3.7100000000000001E-2</v>
      </c>
    </row>
    <row r="5" spans="1:10">
      <c r="A5" t="s">
        <v>9</v>
      </c>
      <c r="B5" t="s">
        <v>10</v>
      </c>
      <c r="C5" s="1">
        <v>3.7100000000000001E-2</v>
      </c>
      <c r="I5" s="1"/>
      <c r="J5" s="1"/>
    </row>
    <row r="6" spans="1:10">
      <c r="A6" t="s">
        <v>11</v>
      </c>
      <c r="B6" t="s">
        <v>12</v>
      </c>
      <c r="C6" s="1">
        <v>3.7100000000000001E-2</v>
      </c>
      <c r="I6" s="1"/>
      <c r="J6" s="1"/>
    </row>
    <row r="7" spans="1:10">
      <c r="A7" t="s">
        <v>13</v>
      </c>
      <c r="B7" t="s">
        <v>14</v>
      </c>
      <c r="C7" s="1">
        <v>3.7100000000000001E-2</v>
      </c>
      <c r="I7" s="1"/>
      <c r="J7" s="1"/>
    </row>
    <row r="8" spans="1:10">
      <c r="A8" t="s">
        <v>15</v>
      </c>
      <c r="B8" t="s">
        <v>16</v>
      </c>
      <c r="C8" s="1">
        <v>0.1812</v>
      </c>
      <c r="I8" s="1"/>
      <c r="J8" s="1"/>
    </row>
    <row r="9" spans="1:10">
      <c r="A9" t="s">
        <v>17</v>
      </c>
      <c r="B9" t="s">
        <v>18</v>
      </c>
      <c r="C9" s="1">
        <v>0.1585</v>
      </c>
      <c r="I9" s="1"/>
      <c r="J9" s="1"/>
    </row>
    <row r="10" spans="1:10">
      <c r="A10" t="s">
        <v>19</v>
      </c>
      <c r="B10" t="s">
        <v>20</v>
      </c>
      <c r="C10" s="1">
        <v>7.22E-2</v>
      </c>
      <c r="I10" s="1"/>
      <c r="J10" s="1"/>
    </row>
    <row r="11" spans="1:10">
      <c r="A11" t="s">
        <v>21</v>
      </c>
      <c r="B11" t="s">
        <v>22</v>
      </c>
      <c r="C11" s="1">
        <v>5.4899999999999997E-2</v>
      </c>
      <c r="I11" s="1"/>
      <c r="J11" s="1"/>
    </row>
    <row r="12" spans="1:10">
      <c r="A12" t="s">
        <v>23</v>
      </c>
      <c r="B12" t="s">
        <v>24</v>
      </c>
      <c r="C12" s="1">
        <v>7.1999999999999998E-3</v>
      </c>
      <c r="I12" s="1"/>
      <c r="J12" s="1"/>
    </row>
    <row r="13" spans="1:10">
      <c r="A13" t="s">
        <v>26</v>
      </c>
      <c r="C13" s="1">
        <v>2.35E-2</v>
      </c>
      <c r="I13" s="1"/>
      <c r="J13" s="1"/>
    </row>
    <row r="14" spans="1:10">
      <c r="A14" t="s">
        <v>25</v>
      </c>
      <c r="C14" s="1">
        <v>7.690000000000001E-2</v>
      </c>
      <c r="I14" s="1"/>
      <c r="J14" s="1"/>
    </row>
    <row r="15" spans="1:10">
      <c r="A15" t="s">
        <v>27</v>
      </c>
      <c r="C15" s="1">
        <v>2E-3</v>
      </c>
      <c r="I15" s="1"/>
      <c r="J15" s="1"/>
    </row>
    <row r="16" spans="1:10">
      <c r="A16" t="s">
        <v>28</v>
      </c>
      <c r="C16" s="1">
        <v>2E-3</v>
      </c>
    </row>
    <row r="17" spans="1:11">
      <c r="A17" t="s">
        <v>29</v>
      </c>
      <c r="C17" s="1">
        <v>2E-3</v>
      </c>
    </row>
    <row r="18" spans="1:11">
      <c r="A18" t="s">
        <v>30</v>
      </c>
      <c r="C18" s="1">
        <v>2E-3</v>
      </c>
    </row>
    <row r="19" spans="1:11">
      <c r="A19" t="s">
        <v>31</v>
      </c>
      <c r="C19" s="1">
        <v>2E-3</v>
      </c>
      <c r="I19" s="1"/>
      <c r="J19" s="1"/>
      <c r="K19" s="1"/>
    </row>
    <row r="20" spans="1:11">
      <c r="A20" t="s">
        <v>32</v>
      </c>
      <c r="C20" s="1">
        <v>2E-3</v>
      </c>
      <c r="I20" s="1"/>
      <c r="J20" s="1"/>
    </row>
    <row r="21" spans="1:11">
      <c r="A21" t="s">
        <v>33</v>
      </c>
      <c r="C21" s="1">
        <v>2E-3</v>
      </c>
      <c r="I21" s="1"/>
      <c r="J21" s="1"/>
    </row>
    <row r="22" spans="1:11">
      <c r="A22" t="s">
        <v>34</v>
      </c>
      <c r="C22" s="1">
        <v>2E-3</v>
      </c>
      <c r="I22" s="1"/>
      <c r="J22" s="1"/>
    </row>
    <row r="23" spans="1:11">
      <c r="A23" t="s">
        <v>35</v>
      </c>
      <c r="C23" s="1">
        <v>2E-3</v>
      </c>
      <c r="I23" s="1"/>
      <c r="J23" s="1"/>
    </row>
    <row r="24" spans="1:11">
      <c r="A24" t="s">
        <v>36</v>
      </c>
      <c r="C24" s="1">
        <v>1.3800000000000002E-3</v>
      </c>
      <c r="I24" s="1"/>
      <c r="J24" s="1"/>
    </row>
    <row r="25" spans="1:11">
      <c r="A25" t="s">
        <v>37</v>
      </c>
      <c r="C25" s="1">
        <v>6.2E-4</v>
      </c>
      <c r="I25" s="1"/>
      <c r="J25" s="1"/>
    </row>
    <row r="26" spans="1:11">
      <c r="A26" t="s">
        <v>38</v>
      </c>
      <c r="C26" s="1">
        <v>2E-3</v>
      </c>
      <c r="I26" s="1"/>
      <c r="J26" s="1"/>
    </row>
    <row r="27" spans="1:11">
      <c r="A27" t="s">
        <v>39</v>
      </c>
      <c r="C27" s="1">
        <v>2E-3</v>
      </c>
      <c r="I27" s="1"/>
      <c r="J27" s="1"/>
    </row>
    <row r="28" spans="1:11">
      <c r="A28" t="s">
        <v>40</v>
      </c>
      <c r="C28" s="1">
        <v>2E-3</v>
      </c>
      <c r="I28" s="1"/>
      <c r="J28" s="1"/>
    </row>
    <row r="29" spans="1:11">
      <c r="A29" t="s">
        <v>41</v>
      </c>
      <c r="C29" s="1">
        <v>2E-3</v>
      </c>
      <c r="I29" s="1"/>
      <c r="J29" s="1"/>
    </row>
    <row r="30" spans="1:11">
      <c r="A30" t="s">
        <v>42</v>
      </c>
      <c r="C30" s="1">
        <v>2E-3</v>
      </c>
      <c r="I30" s="1"/>
      <c r="J30" s="1"/>
    </row>
    <row r="31" spans="1:11">
      <c r="A31" t="s">
        <v>43</v>
      </c>
      <c r="C31" s="1">
        <v>2E-3</v>
      </c>
    </row>
    <row r="32" spans="1:11">
      <c r="A32" t="s">
        <v>44</v>
      </c>
      <c r="C32" s="1">
        <v>2E-3</v>
      </c>
    </row>
    <row r="33" spans="1:3">
      <c r="A33" t="s">
        <v>45</v>
      </c>
      <c r="C33" s="1">
        <v>1.9139999999999999E-3</v>
      </c>
    </row>
    <row r="34" spans="1:3">
      <c r="A34" t="s">
        <v>46</v>
      </c>
      <c r="C34" s="1">
        <v>1.1640000000000001E-3</v>
      </c>
    </row>
    <row r="35" spans="1:3">
      <c r="A35" t="s">
        <v>47</v>
      </c>
      <c r="C35" s="1">
        <v>1.106E-3</v>
      </c>
    </row>
    <row r="36" spans="1:3">
      <c r="A36" t="s">
        <v>48</v>
      </c>
      <c r="C36" s="1">
        <v>9.5799999999999998E-4</v>
      </c>
    </row>
    <row r="37" spans="1:3">
      <c r="A37" t="s">
        <v>49</v>
      </c>
      <c r="C37" s="1">
        <v>8.5800000000000004E-4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78D1-4EA4-486B-99F6-92F19678C987}">
  <dimension ref="A1:J37"/>
  <sheetViews>
    <sheetView topLeftCell="A21" workbookViewId="0">
      <selection activeCell="A26" sqref="A26:A37"/>
    </sheetView>
  </sheetViews>
  <sheetFormatPr defaultRowHeight="15"/>
  <cols>
    <col min="1" max="1" width="33.42578125" customWidth="1"/>
    <col min="2" max="2" width="23" customWidth="1"/>
  </cols>
  <sheetData>
    <row r="1" spans="1:10">
      <c r="A1" s="3" t="s">
        <v>50</v>
      </c>
      <c r="B1" s="3" t="s">
        <v>1</v>
      </c>
      <c r="C1" s="3" t="s">
        <v>51</v>
      </c>
      <c r="D1" s="4"/>
      <c r="E1" s="4"/>
      <c r="F1" s="3"/>
      <c r="G1" s="3" t="s">
        <v>52</v>
      </c>
      <c r="H1" s="4"/>
      <c r="I1" s="5"/>
    </row>
    <row r="2" spans="1:10">
      <c r="A2" s="5" t="s">
        <v>3</v>
      </c>
      <c r="B2" s="5" t="s">
        <v>4</v>
      </c>
      <c r="C2" s="6">
        <v>8.6699999999999999E-2</v>
      </c>
      <c r="D2" s="3"/>
      <c r="E2" s="3"/>
      <c r="F2" s="5"/>
      <c r="G2" s="3" t="s">
        <v>50</v>
      </c>
      <c r="H2" s="3" t="s">
        <v>2</v>
      </c>
      <c r="I2" s="3"/>
    </row>
    <row r="3" spans="1:10">
      <c r="A3" s="5" t="s">
        <v>5</v>
      </c>
      <c r="B3" s="5" t="s">
        <v>6</v>
      </c>
      <c r="C3" s="6">
        <v>1.61E-2</v>
      </c>
      <c r="D3" s="3"/>
      <c r="E3" s="3"/>
      <c r="F3" s="5"/>
      <c r="G3" s="5" t="s">
        <v>27</v>
      </c>
      <c r="H3" s="7">
        <v>0.1</v>
      </c>
      <c r="I3" s="6" t="e">
        <f>#REF!*H3</f>
        <v>#REF!</v>
      </c>
      <c r="J3" s="6" t="e">
        <f>#REF!*I3</f>
        <v>#REF!</v>
      </c>
    </row>
    <row r="4" spans="1:10">
      <c r="A4" s="5" t="s">
        <v>7</v>
      </c>
      <c r="B4" s="5" t="s">
        <v>8</v>
      </c>
      <c r="C4" s="6">
        <v>1.61E-2</v>
      </c>
      <c r="D4" s="5"/>
      <c r="E4" s="5"/>
      <c r="F4" s="5"/>
      <c r="G4" s="5" t="s">
        <v>28</v>
      </c>
      <c r="H4" s="7">
        <v>0.1</v>
      </c>
      <c r="I4" s="6" t="e">
        <f>#REF!*H4</f>
        <v>#REF!</v>
      </c>
    </row>
    <row r="5" spans="1:10">
      <c r="A5" s="5" t="s">
        <v>9</v>
      </c>
      <c r="B5" s="5" t="s">
        <v>10</v>
      </c>
      <c r="C5" s="6">
        <v>1.61E-2</v>
      </c>
      <c r="D5" s="5"/>
      <c r="E5" s="5"/>
      <c r="F5" s="5"/>
      <c r="G5" s="5" t="s">
        <v>29</v>
      </c>
      <c r="H5" s="7">
        <v>0.1</v>
      </c>
      <c r="I5" s="6" t="e">
        <f>#REF!*H5</f>
        <v>#REF!</v>
      </c>
    </row>
    <row r="6" spans="1:10">
      <c r="A6" s="5" t="s">
        <v>11</v>
      </c>
      <c r="B6" s="5" t="s">
        <v>12</v>
      </c>
      <c r="C6" s="6">
        <v>1.61E-2</v>
      </c>
      <c r="D6" s="5"/>
      <c r="E6" s="5"/>
      <c r="F6" s="5"/>
      <c r="G6" s="5" t="s">
        <v>30</v>
      </c>
      <c r="H6" s="7">
        <v>0.1</v>
      </c>
      <c r="I6" s="6" t="e">
        <f>#REF!*H6</f>
        <v>#REF!</v>
      </c>
    </row>
    <row r="7" spans="1:10">
      <c r="A7" s="5" t="s">
        <v>13</v>
      </c>
      <c r="B7" s="5" t="s">
        <v>14</v>
      </c>
      <c r="C7" s="6">
        <v>1.61E-2</v>
      </c>
      <c r="D7" s="5"/>
      <c r="E7" s="5"/>
      <c r="F7" s="5"/>
      <c r="G7" s="5" t="s">
        <v>31</v>
      </c>
      <c r="H7" s="7">
        <v>0.1</v>
      </c>
      <c r="I7" s="6" t="e">
        <f>#REF!*H7</f>
        <v>#REF!</v>
      </c>
    </row>
    <row r="8" spans="1:10">
      <c r="A8" s="5" t="s">
        <v>15</v>
      </c>
      <c r="B8" s="5" t="s">
        <v>16</v>
      </c>
      <c r="C8" s="6">
        <v>7.85E-2</v>
      </c>
      <c r="D8" s="5"/>
      <c r="E8" s="5"/>
      <c r="F8" s="5"/>
      <c r="G8" s="5" t="s">
        <v>32</v>
      </c>
      <c r="H8" s="7">
        <v>0.1</v>
      </c>
      <c r="I8" s="6" t="e">
        <f>#REF!*H8</f>
        <v>#REF!</v>
      </c>
    </row>
    <row r="9" spans="1:10">
      <c r="A9" s="5" t="s">
        <v>17</v>
      </c>
      <c r="B9" s="5" t="s">
        <v>18</v>
      </c>
      <c r="C9" s="6">
        <v>6.8699999999999997E-2</v>
      </c>
      <c r="D9" s="5"/>
      <c r="E9" s="5"/>
      <c r="F9" s="5"/>
      <c r="G9" s="5" t="s">
        <v>33</v>
      </c>
      <c r="H9" s="7">
        <v>0.1</v>
      </c>
      <c r="I9" s="6" t="e">
        <f>#REF!*H9</f>
        <v>#REF!</v>
      </c>
    </row>
    <row r="10" spans="1:10">
      <c r="A10" s="5" t="s">
        <v>19</v>
      </c>
      <c r="B10" s="5" t="s">
        <v>20</v>
      </c>
      <c r="C10" s="6">
        <v>3.1300000000000001E-2</v>
      </c>
      <c r="D10" s="11"/>
      <c r="E10" s="11"/>
      <c r="F10" s="11"/>
      <c r="G10" s="5" t="s">
        <v>34</v>
      </c>
      <c r="H10" s="7">
        <v>0.1</v>
      </c>
      <c r="I10" s="6" t="e">
        <f>#REF!*H10</f>
        <v>#REF!</v>
      </c>
    </row>
    <row r="11" spans="1:10">
      <c r="A11" s="5" t="s">
        <v>21</v>
      </c>
      <c r="B11" s="5" t="s">
        <v>22</v>
      </c>
      <c r="C11" s="6">
        <v>2.3800000000000002E-2</v>
      </c>
      <c r="D11" s="11"/>
      <c r="E11" s="11"/>
      <c r="F11" s="11"/>
      <c r="G11" s="5" t="s">
        <v>35</v>
      </c>
      <c r="H11" s="7">
        <v>0.1</v>
      </c>
      <c r="I11" s="6" t="e">
        <f>#REF!*H11</f>
        <v>#REF!</v>
      </c>
    </row>
    <row r="12" spans="1:10">
      <c r="A12" s="5" t="s">
        <v>23</v>
      </c>
      <c r="B12" s="5" t="s">
        <v>24</v>
      </c>
      <c r="C12" s="6">
        <v>3.0999999999999999E-3</v>
      </c>
      <c r="D12" s="5"/>
      <c r="E12" s="5"/>
      <c r="F12" s="5"/>
      <c r="G12" s="5" t="s">
        <v>36</v>
      </c>
      <c r="H12" s="7">
        <v>7.0000000000000007E-2</v>
      </c>
      <c r="I12" s="6" t="e">
        <f>#REF!*H12</f>
        <v>#REF!</v>
      </c>
    </row>
    <row r="13" spans="1:10">
      <c r="A13" s="5" t="s">
        <v>25</v>
      </c>
      <c r="B13" s="5"/>
      <c r="C13" s="6">
        <v>0.6</v>
      </c>
      <c r="D13" s="5"/>
      <c r="E13" s="5"/>
      <c r="F13" s="5"/>
      <c r="G13" s="5" t="s">
        <v>37</v>
      </c>
      <c r="H13" s="7">
        <v>0.03</v>
      </c>
      <c r="I13" s="6" t="e">
        <f>#REF!*H13</f>
        <v>#REF!</v>
      </c>
    </row>
    <row r="14" spans="1:10">
      <c r="A14" s="5" t="s">
        <v>26</v>
      </c>
      <c r="B14" s="5"/>
      <c r="C14" s="6">
        <v>1.0200000000000001E-2</v>
      </c>
      <c r="D14" s="5"/>
      <c r="E14" s="5"/>
      <c r="F14" s="5"/>
      <c r="G14" s="5"/>
      <c r="H14" s="5"/>
      <c r="I14" s="5"/>
    </row>
    <row r="15" spans="1:10">
      <c r="A15" s="5" t="s">
        <v>27</v>
      </c>
      <c r="B15" s="5"/>
      <c r="C15" s="6">
        <v>8.7000000000000001E-4</v>
      </c>
      <c r="D15" s="5"/>
      <c r="E15" s="5"/>
      <c r="F15" s="5"/>
      <c r="G15" s="3" t="s">
        <v>53</v>
      </c>
      <c r="H15" s="4"/>
      <c r="I15" s="5"/>
    </row>
    <row r="16" spans="1:10">
      <c r="A16" s="5" t="s">
        <v>28</v>
      </c>
      <c r="B16" s="5"/>
      <c r="C16" s="6">
        <v>8.7000000000000001E-4</v>
      </c>
      <c r="D16" s="11"/>
      <c r="E16" s="11"/>
      <c r="F16" s="11"/>
      <c r="G16" s="3" t="s">
        <v>50</v>
      </c>
      <c r="H16" s="3" t="s">
        <v>2</v>
      </c>
      <c r="I16" s="5"/>
    </row>
    <row r="17" spans="1:9">
      <c r="A17" s="5" t="s">
        <v>29</v>
      </c>
      <c r="B17" s="5"/>
      <c r="C17" s="6">
        <v>8.7000000000000001E-4</v>
      </c>
      <c r="D17" s="11"/>
      <c r="E17" s="11"/>
      <c r="F17" s="11"/>
      <c r="G17" s="5" t="s">
        <v>54</v>
      </c>
      <c r="H17" s="7">
        <v>0.1</v>
      </c>
      <c r="I17" s="6" t="e">
        <f>H17*#REF!</f>
        <v>#REF!</v>
      </c>
    </row>
    <row r="18" spans="1:9">
      <c r="A18" s="5" t="s">
        <v>30</v>
      </c>
      <c r="B18" s="5"/>
      <c r="C18" s="6">
        <v>8.7000000000000001E-4</v>
      </c>
      <c r="D18" s="11"/>
      <c r="E18" s="11"/>
      <c r="F18" s="11"/>
      <c r="G18" s="5" t="s">
        <v>55</v>
      </c>
      <c r="H18" s="7">
        <v>0.1</v>
      </c>
      <c r="I18" s="6" t="e">
        <f>H18*#REF!</f>
        <v>#REF!</v>
      </c>
    </row>
    <row r="19" spans="1:9">
      <c r="A19" s="5" t="s">
        <v>31</v>
      </c>
      <c r="B19" s="5"/>
      <c r="C19" s="6">
        <v>8.7000000000000001E-4</v>
      </c>
      <c r="D19" s="5"/>
      <c r="E19" s="5"/>
      <c r="F19" s="5"/>
      <c r="G19" s="5" t="s">
        <v>56</v>
      </c>
      <c r="H19" s="7">
        <v>0.1</v>
      </c>
      <c r="I19" s="6" t="e">
        <f>H19*#REF!</f>
        <v>#REF!</v>
      </c>
    </row>
    <row r="20" spans="1:9">
      <c r="A20" s="5" t="s">
        <v>32</v>
      </c>
      <c r="B20" s="5"/>
      <c r="C20" s="6">
        <v>8.7000000000000001E-4</v>
      </c>
      <c r="D20" s="5"/>
      <c r="E20" s="5"/>
      <c r="F20" s="5"/>
      <c r="G20" s="5" t="s">
        <v>57</v>
      </c>
      <c r="H20" s="7">
        <v>0.1</v>
      </c>
      <c r="I20" s="6" t="e">
        <f>H20*#REF!</f>
        <v>#REF!</v>
      </c>
    </row>
    <row r="21" spans="1:9">
      <c r="A21" s="5" t="s">
        <v>33</v>
      </c>
      <c r="B21" s="5"/>
      <c r="C21" s="6">
        <v>8.7000000000000001E-4</v>
      </c>
      <c r="D21" s="5"/>
      <c r="E21" s="5"/>
      <c r="F21" s="5"/>
      <c r="G21" s="5" t="s">
        <v>58</v>
      </c>
      <c r="H21" s="7">
        <v>0.1</v>
      </c>
      <c r="I21" s="6" t="e">
        <f>H21*#REF!</f>
        <v>#REF!</v>
      </c>
    </row>
    <row r="22" spans="1:9">
      <c r="A22" s="5" t="s">
        <v>34</v>
      </c>
      <c r="B22" s="5"/>
      <c r="C22" s="6">
        <v>8.7000000000000001E-4</v>
      </c>
      <c r="D22" s="5"/>
      <c r="E22" s="5"/>
      <c r="F22" s="5"/>
      <c r="G22" s="5" t="s">
        <v>59</v>
      </c>
      <c r="H22" s="7">
        <v>0.1</v>
      </c>
      <c r="I22" s="6" t="e">
        <f>H22*#REF!</f>
        <v>#REF!</v>
      </c>
    </row>
    <row r="23" spans="1:9">
      <c r="A23" s="5" t="s">
        <v>35</v>
      </c>
      <c r="B23" s="5"/>
      <c r="C23" s="6">
        <v>8.7000000000000001E-4</v>
      </c>
      <c r="D23" s="5"/>
      <c r="E23" s="5"/>
      <c r="F23" s="5"/>
      <c r="G23" s="5" t="s">
        <v>60</v>
      </c>
      <c r="H23" s="7">
        <v>0.1</v>
      </c>
      <c r="I23" s="6" t="e">
        <f>H23*#REF!</f>
        <v>#REF!</v>
      </c>
    </row>
    <row r="24" spans="1:9">
      <c r="A24" s="5" t="s">
        <v>36</v>
      </c>
      <c r="B24" s="5"/>
      <c r="C24" s="6">
        <v>6.0900000000000006E-4</v>
      </c>
      <c r="D24" s="5"/>
      <c r="E24" s="5"/>
      <c r="F24" s="5"/>
      <c r="G24" s="5" t="s">
        <v>61</v>
      </c>
      <c r="H24" s="7">
        <v>0.1</v>
      </c>
      <c r="I24" s="6" t="e">
        <f>H24*#REF!</f>
        <v>#REF!</v>
      </c>
    </row>
    <row r="25" spans="1:9">
      <c r="A25" s="5" t="s">
        <v>37</v>
      </c>
      <c r="B25" s="5"/>
      <c r="C25" s="6">
        <v>2.6099999999999995E-4</v>
      </c>
      <c r="D25" s="5"/>
      <c r="E25" s="5"/>
      <c r="F25" s="5"/>
      <c r="G25" s="5" t="s">
        <v>62</v>
      </c>
      <c r="H25" s="7">
        <v>0.06</v>
      </c>
      <c r="I25" s="6" t="e">
        <f>H25*#REF!</f>
        <v>#REF!</v>
      </c>
    </row>
    <row r="26" spans="1:9">
      <c r="A26" t="s">
        <v>38</v>
      </c>
      <c r="B26" s="5"/>
      <c r="C26" s="6">
        <v>8.7000000000000001E-4</v>
      </c>
      <c r="D26" s="5"/>
      <c r="E26" s="5"/>
      <c r="F26" s="5"/>
      <c r="G26" s="5" t="s">
        <v>63</v>
      </c>
      <c r="H26" s="7">
        <v>0.06</v>
      </c>
      <c r="I26" s="6" t="e">
        <f>H26*#REF!</f>
        <v>#REF!</v>
      </c>
    </row>
    <row r="27" spans="1:9">
      <c r="A27" t="s">
        <v>39</v>
      </c>
      <c r="B27" s="5"/>
      <c r="C27" s="6">
        <v>8.7000000000000001E-4</v>
      </c>
      <c r="D27" s="5"/>
      <c r="E27" s="5"/>
      <c r="F27" s="5"/>
      <c r="G27" s="5" t="s">
        <v>64</v>
      </c>
      <c r="H27" s="7">
        <v>0.05</v>
      </c>
      <c r="I27" s="6" t="e">
        <f>H27*#REF!</f>
        <v>#REF!</v>
      </c>
    </row>
    <row r="28" spans="1:9">
      <c r="A28" t="s">
        <v>40</v>
      </c>
      <c r="B28" s="5"/>
      <c r="C28" s="6">
        <v>8.7000000000000001E-4</v>
      </c>
      <c r="D28" s="5"/>
      <c r="E28" s="5"/>
      <c r="F28" s="5"/>
      <c r="G28" s="5" t="s">
        <v>65</v>
      </c>
      <c r="H28" s="7">
        <v>0.04</v>
      </c>
      <c r="I28" s="6" t="e">
        <f>H28*#REF!</f>
        <v>#REF!</v>
      </c>
    </row>
    <row r="29" spans="1:9">
      <c r="A29" t="s">
        <v>41</v>
      </c>
      <c r="B29" s="5"/>
      <c r="C29" s="6">
        <v>8.7000000000000001E-4</v>
      </c>
      <c r="D29" s="5"/>
      <c r="E29" s="5"/>
      <c r="F29" s="5"/>
      <c r="G29" s="5"/>
      <c r="H29" s="5"/>
      <c r="I29" s="5"/>
    </row>
    <row r="30" spans="1:9">
      <c r="A30" t="s">
        <v>42</v>
      </c>
      <c r="B30" s="5"/>
      <c r="C30" s="6">
        <v>8.7000000000000001E-4</v>
      </c>
      <c r="D30" s="5"/>
      <c r="E30" s="5"/>
      <c r="F30" s="5"/>
      <c r="G30" s="5"/>
      <c r="H30" s="5"/>
      <c r="I30" s="5"/>
    </row>
    <row r="31" spans="1:9">
      <c r="A31" t="s">
        <v>43</v>
      </c>
      <c r="C31" s="1">
        <v>8.7000000000000001E-4</v>
      </c>
      <c r="D31" s="5"/>
      <c r="E31" s="5"/>
      <c r="F31" s="5"/>
      <c r="G31" s="5"/>
      <c r="H31" s="5"/>
      <c r="I31" s="5"/>
    </row>
    <row r="32" spans="1:9">
      <c r="A32" t="s">
        <v>44</v>
      </c>
      <c r="C32" s="1">
        <v>8.7000000000000001E-4</v>
      </c>
      <c r="D32" s="5"/>
      <c r="E32" s="5"/>
      <c r="F32" s="5"/>
      <c r="G32" s="5"/>
      <c r="H32" s="5"/>
      <c r="I32" s="5"/>
    </row>
    <row r="33" spans="1:9">
      <c r="A33" t="s">
        <v>45</v>
      </c>
      <c r="C33" s="1">
        <v>8.7000000000000001E-4</v>
      </c>
      <c r="D33" s="5"/>
      <c r="E33" s="5"/>
      <c r="F33" s="5"/>
      <c r="G33" s="5"/>
      <c r="H33" s="5"/>
      <c r="I33" s="5"/>
    </row>
    <row r="34" spans="1:9">
      <c r="A34" t="s">
        <v>46</v>
      </c>
      <c r="C34" s="1">
        <v>5.2199999999999989E-4</v>
      </c>
      <c r="D34" s="5"/>
      <c r="E34" s="5"/>
      <c r="F34" s="5"/>
      <c r="G34" s="5"/>
      <c r="H34" s="5"/>
      <c r="I34" s="5"/>
    </row>
    <row r="35" spans="1:9">
      <c r="A35" t="s">
        <v>47</v>
      </c>
      <c r="C35" s="1">
        <v>5.2199999999999989E-4</v>
      </c>
      <c r="D35" s="5"/>
      <c r="E35" s="5"/>
      <c r="F35" s="5"/>
      <c r="G35" s="5"/>
      <c r="H35" s="5"/>
      <c r="I35" s="5"/>
    </row>
    <row r="36" spans="1:9">
      <c r="A36" t="s">
        <v>48</v>
      </c>
      <c r="C36" s="1">
        <v>4.35E-4</v>
      </c>
    </row>
    <row r="37" spans="1:9">
      <c r="A37" t="s">
        <v>49</v>
      </c>
      <c r="C37" s="1">
        <v>3.48E-4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7A72-F763-43E8-8A04-81015B6BE1ED}">
  <dimension ref="A1:C8"/>
  <sheetViews>
    <sheetView workbookViewId="0">
      <selection activeCell="B12" sqref="B12"/>
    </sheetView>
  </sheetViews>
  <sheetFormatPr defaultRowHeight="15"/>
  <cols>
    <col min="1" max="1" width="38.5703125" customWidth="1"/>
    <col min="3" max="3" width="23.7109375" customWidth="1"/>
  </cols>
  <sheetData>
    <row r="1" spans="1:3">
      <c r="A1" s="3" t="s">
        <v>50</v>
      </c>
      <c r="B1" s="3" t="s">
        <v>1</v>
      </c>
      <c r="C1" s="3" t="s">
        <v>51</v>
      </c>
    </row>
    <row r="2" spans="1:3">
      <c r="A2" s="5" t="s">
        <v>66</v>
      </c>
      <c r="B2" s="5" t="s">
        <v>67</v>
      </c>
      <c r="C2" s="6">
        <v>0.03</v>
      </c>
    </row>
    <row r="3" spans="1:3">
      <c r="A3" s="5" t="s">
        <v>5</v>
      </c>
      <c r="B3" s="5" t="s">
        <v>6</v>
      </c>
      <c r="C3" s="6">
        <v>0.03</v>
      </c>
    </row>
    <row r="4" spans="1:3">
      <c r="A4" s="5" t="s">
        <v>7</v>
      </c>
      <c r="B4" s="5" t="s">
        <v>8</v>
      </c>
      <c r="C4" s="6">
        <v>0.04</v>
      </c>
    </row>
    <row r="5" spans="1:3">
      <c r="A5" s="5" t="s">
        <v>9</v>
      </c>
      <c r="B5" s="5" t="s">
        <v>10</v>
      </c>
      <c r="C5" s="6">
        <v>0.04</v>
      </c>
    </row>
    <row r="6" spans="1:3">
      <c r="A6" s="5" t="s">
        <v>11</v>
      </c>
      <c r="B6" s="5" t="s">
        <v>12</v>
      </c>
      <c r="C6" s="6">
        <v>0.03</v>
      </c>
    </row>
    <row r="7" spans="1:3">
      <c r="A7" s="5" t="s">
        <v>13</v>
      </c>
      <c r="B7" s="5" t="s">
        <v>14</v>
      </c>
      <c r="C7" s="6">
        <v>0.03</v>
      </c>
    </row>
    <row r="8" spans="1:3">
      <c r="A8" s="5" t="s">
        <v>68</v>
      </c>
      <c r="B8" s="5"/>
      <c r="C8" s="6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7FB-4966-404F-865F-6A63F0A005D6}">
  <dimension ref="A1:C13"/>
  <sheetViews>
    <sheetView tabSelected="1" workbookViewId="0">
      <selection activeCell="B7" sqref="B7"/>
    </sheetView>
  </sheetViews>
  <sheetFormatPr defaultRowHeight="15"/>
  <sheetData>
    <row r="1" spans="1:3">
      <c r="A1" t="s">
        <v>50</v>
      </c>
      <c r="C1" t="s">
        <v>2</v>
      </c>
    </row>
    <row r="2" spans="1:3">
      <c r="A2" t="s">
        <v>38</v>
      </c>
      <c r="C2" s="2">
        <v>0.1</v>
      </c>
    </row>
    <row r="3" spans="1:3">
      <c r="A3" t="s">
        <v>39</v>
      </c>
      <c r="C3" s="2">
        <v>0.1</v>
      </c>
    </row>
    <row r="4" spans="1:3">
      <c r="A4" t="s">
        <v>40</v>
      </c>
      <c r="C4" s="2">
        <v>0.1</v>
      </c>
    </row>
    <row r="5" spans="1:3">
      <c r="A5" t="s">
        <v>41</v>
      </c>
      <c r="C5" s="2">
        <v>0.1</v>
      </c>
    </row>
    <row r="6" spans="1:3">
      <c r="A6" t="s">
        <v>42</v>
      </c>
      <c r="C6" s="2">
        <v>0.1</v>
      </c>
    </row>
    <row r="7" spans="1:3">
      <c r="A7" t="s">
        <v>43</v>
      </c>
      <c r="C7" s="2">
        <v>0.1</v>
      </c>
    </row>
    <row r="8" spans="1:3">
      <c r="A8" t="s">
        <v>44</v>
      </c>
      <c r="C8" s="2">
        <v>0.1</v>
      </c>
    </row>
    <row r="9" spans="1:3">
      <c r="A9" t="s">
        <v>45</v>
      </c>
      <c r="C9" s="2">
        <v>0.1</v>
      </c>
    </row>
    <row r="10" spans="1:3">
      <c r="A10" t="s">
        <v>46</v>
      </c>
      <c r="C10" s="2">
        <v>0.06</v>
      </c>
    </row>
    <row r="11" spans="1:3">
      <c r="A11" t="s">
        <v>47</v>
      </c>
      <c r="C11" s="2">
        <v>0.06</v>
      </c>
    </row>
    <row r="12" spans="1:3">
      <c r="A12" t="s">
        <v>48</v>
      </c>
      <c r="C12" s="2">
        <v>0.05</v>
      </c>
    </row>
    <row r="13" spans="1:3">
      <c r="A13" t="s">
        <v>49</v>
      </c>
      <c r="C13" s="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4CC-90CC-43B9-BF21-8467CB96330E}">
  <dimension ref="A1:C12"/>
  <sheetViews>
    <sheetView workbookViewId="0">
      <selection activeCell="C1" sqref="C1:C12"/>
    </sheetView>
  </sheetViews>
  <sheetFormatPr defaultRowHeight="15"/>
  <sheetData>
    <row r="1" spans="1:3">
      <c r="A1" s="3" t="s">
        <v>50</v>
      </c>
      <c r="C1" s="3" t="s">
        <v>2</v>
      </c>
    </row>
    <row r="2" spans="1:3">
      <c r="A2" s="5" t="s">
        <v>27</v>
      </c>
      <c r="C2" s="7">
        <v>0.1</v>
      </c>
    </row>
    <row r="3" spans="1:3">
      <c r="A3" s="5" t="s">
        <v>28</v>
      </c>
      <c r="C3" s="7">
        <v>0.1</v>
      </c>
    </row>
    <row r="4" spans="1:3">
      <c r="A4" s="5" t="s">
        <v>29</v>
      </c>
      <c r="C4" s="7">
        <v>0.1</v>
      </c>
    </row>
    <row r="5" spans="1:3">
      <c r="A5" s="5" t="s">
        <v>30</v>
      </c>
      <c r="C5" s="7">
        <v>0.1</v>
      </c>
    </row>
    <row r="6" spans="1:3">
      <c r="A6" s="5" t="s">
        <v>31</v>
      </c>
      <c r="C6" s="7">
        <v>0.1</v>
      </c>
    </row>
    <row r="7" spans="1:3">
      <c r="A7" s="5" t="s">
        <v>32</v>
      </c>
      <c r="C7" s="7">
        <v>0.1</v>
      </c>
    </row>
    <row r="8" spans="1:3">
      <c r="A8" s="5" t="s">
        <v>33</v>
      </c>
      <c r="C8" s="7">
        <v>0.1</v>
      </c>
    </row>
    <row r="9" spans="1:3">
      <c r="A9" s="5" t="s">
        <v>34</v>
      </c>
      <c r="C9" s="7">
        <v>0.1</v>
      </c>
    </row>
    <row r="10" spans="1:3">
      <c r="A10" s="5" t="s">
        <v>35</v>
      </c>
      <c r="C10" s="7">
        <v>0.1</v>
      </c>
    </row>
    <row r="11" spans="1:3">
      <c r="A11" s="5" t="s">
        <v>36</v>
      </c>
      <c r="C11" s="7">
        <v>7.0000000000000007E-2</v>
      </c>
    </row>
    <row r="12" spans="1:3">
      <c r="A12" s="5" t="s">
        <v>37</v>
      </c>
      <c r="C12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2026-06-01T14:57:29Z</dcterms:created>
  <dcterms:modified xsi:type="dcterms:W3CDTF">2026-06-01T18:57:15Z</dcterms:modified>
  <cp:category/>
  <cp:contentStatus/>
</cp:coreProperties>
</file>